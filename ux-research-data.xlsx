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Completion" sheetId="1" state="visible" r:id="rId3"/>
    <sheet name="SUS Scores" sheetId="2" state="visible" r:id="rId4"/>
    <sheet name="Error &amp; Friction Log" sheetId="3" state="visible" r:id="rId5"/>
    <sheet name="Coded Themes" sheetId="4" state="visible" r:id="rId6"/>
    <sheet name="NPS &amp; Satisfac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<sst xmlns="http://schemas.openxmlformats.org/spreadsheetml/2006/main" count="465" uniqueCount="232">
  <si>
    <t xml:space="preserve">Participant</t>
  </si>
  <si>
    <t xml:space="preserve">Session Date</t>
  </si>
  <si>
    <t xml:space="preserve">Device</t>
  </si>
  <si>
    <t xml:space="preserve">Task</t>
  </si>
  <si>
    <t xml:space="preserve">Completed?</t>
  </si>
  <si>
    <t xml:space="preserve">Time (sec)</t>
  </si>
  <si>
    <t xml:space="preserve">Errors</t>
  </si>
  <si>
    <t xml:space="preserve">Assists</t>
  </si>
  <si>
    <t xml:space="preserve">Difficulty (1-5)</t>
  </si>
  <si>
    <t xml:space="preserve">Notes</t>
  </si>
  <si>
    <t xml:space="preserve">Sarah K.</t>
  </si>
  <si>
    <t xml:space="preserve">2026-04-08</t>
  </si>
  <si>
    <t xml:space="preserve">iPhone 14</t>
  </si>
  <si>
    <t xml:space="preserve">Find a bean to try</t>
  </si>
  <si>
    <t xml:space="preserve">Yes</t>
  </si>
  <si>
    <t xml:space="preserve">Scrolled instead of searching; confused by cupping scores</t>
  </si>
  <si>
    <t xml:space="preserve">Take the flavor quiz</t>
  </si>
  <si>
    <t xml:space="preserve">Confused by multi-select Continue on Q4</t>
  </si>
  <si>
    <t xml:space="preserve">Save a bean to diary</t>
  </si>
  <si>
    <t xml:space="preserve">Found save button quickly; wanted inline diary notes</t>
  </si>
  <si>
    <t xml:space="preserve">Find the brew guide</t>
  </si>
  <si>
    <t xml:space="preserve">Found immediately via nav; very positive reaction</t>
  </si>
  <si>
    <t xml:space="preserve">Compare two beans</t>
  </si>
  <si>
    <t xml:space="preserve">No</t>
  </si>
  <si>
    <t xml:space="preserve">Tried opening tabs; no compare feature exists</t>
  </si>
  <si>
    <t xml:space="preserve">Marcus T.</t>
  </si>
  <si>
    <t xml:space="preserve">MacBook Pro</t>
  </si>
  <si>
    <t xml:space="preserve">Used filters immediately; expert user</t>
  </si>
  <si>
    <t xml:space="preserve">Completed easily but found it too basic</t>
  </si>
  <si>
    <t xml:space="preserve">No issues; wants structured tasting log</t>
  </si>
  <si>
    <t xml:space="preserve">Found quickly; praised accuracy</t>
  </si>
  <si>
    <t xml:space="preserve">Partial</t>
  </si>
  <si>
    <t xml:space="preserve">Used browser tabs as workaround</t>
  </si>
  <si>
    <t xml:space="preserve">Priya M.</t>
  </si>
  <si>
    <t xml:space="preserve">2026-04-09</t>
  </si>
  <si>
    <t xml:space="preserve">Galaxy S23</t>
  </si>
  <si>
    <t xml:space="preserve">Struggled with jargon; filter labels unclear</t>
  </si>
  <si>
    <t xml:space="preserve">Multi-select Continue confusion; loved results personality</t>
  </si>
  <si>
    <t xml:space="preserve">Unclear what "Want to Try" status does downstream</t>
  </si>
  <si>
    <t xml:space="preserve">Found via nav; liked copy but wanted glossary</t>
  </si>
  <si>
    <t xml:space="preserve">Could not find feature; gave up</t>
  </si>
  <si>
    <t xml:space="preserve">Devon R.</t>
  </si>
  <si>
    <t xml:space="preserve">iPhone 13 mini</t>
  </si>
  <si>
    <t xml:space="preserve">Browsed Editor Picks; cards slightly cramped on mini</t>
  </si>
  <si>
    <t xml:space="preserve">Q4 Continue confusion</t>
  </si>
  <si>
    <t xml:space="preserve">Smooth experience</t>
  </si>
  <si>
    <t xml:space="preserve">Learned Chemex = pour-over from the guide</t>
  </si>
  <si>
    <t xml:space="preserve">No feature; didn't attempt workaround</t>
  </si>
  <si>
    <t xml:space="preserve">Lisa Chen</t>
  </si>
  <si>
    <t xml:space="preserve">2026-04-10</t>
  </si>
  <si>
    <t xml:space="preserve">iPad Air</t>
  </si>
  <si>
    <t xml:space="preserve">Filtered by score 85+; confident navigation</t>
  </si>
  <si>
    <t xml:space="preserve">Saw educational potential for bakery staff</t>
  </si>
  <si>
    <t xml:space="preserve">Wants structured ratings, not freeform text</t>
  </si>
  <si>
    <t xml:space="preserve">Immediately useful for V60 training</t>
  </si>
  <si>
    <t xml:space="preserve">Wanted comparison for sourcing decisions</t>
  </si>
  <si>
    <t xml:space="preserve">Q1
Frequent use</t>
  </si>
  <si>
    <t xml:space="preserve">Q2
Complex</t>
  </si>
  <si>
    <t xml:space="preserve">Q3
Easy to use</t>
  </si>
  <si>
    <t xml:space="preserve">Q4
Need support</t>
  </si>
  <si>
    <t xml:space="preserve">Q5
Well integrated</t>
  </si>
  <si>
    <t xml:space="preserve">Q6
Inconsistent</t>
  </si>
  <si>
    <t xml:space="preserve">Q7
Learn quickly</t>
  </si>
  <si>
    <t xml:space="preserve">Q8
Cumbersome</t>
  </si>
  <si>
    <t xml:space="preserve">Q9
Confident</t>
  </si>
  <si>
    <t xml:space="preserve">Q10
Learn a lot</t>
  </si>
  <si>
    <t xml:space="preserve">SUS Score</t>
  </si>
  <si>
    <t xml:space="preserve">AVERAGE</t>
  </si>
  <si>
    <t xml:space="preserve">ID</t>
  </si>
  <si>
    <t xml:space="preserve">Page/Component</t>
  </si>
  <si>
    <t xml:space="preserve">Error Type</t>
  </si>
  <si>
    <t xml:space="preserve">Severity</t>
  </si>
  <si>
    <t xml:space="preserve">Description</t>
  </si>
  <si>
    <t xml:space="preserve">Recovered?</t>
  </si>
  <si>
    <t xml:space="preserve">Time Lost (sec)</t>
  </si>
  <si>
    <t xml:space="preserve">E01</t>
  </si>
  <si>
    <t xml:space="preserve">Find a bean</t>
  </si>
  <si>
    <t xml:space="preserve">Bean Detail</t>
  </si>
  <si>
    <t xml:space="preserve">Comprehension</t>
  </si>
  <si>
    <t xml:space="preserve">Major</t>
  </si>
  <si>
    <t xml:space="preserve">Could not interpret cupping scores — "Is 8.42 good?"</t>
  </si>
  <si>
    <t xml:space="preserve">E02</t>
  </si>
  <si>
    <t xml:space="preserve">Quiz</t>
  </si>
  <si>
    <t xml:space="preserve">QuizQuestion Q4</t>
  </si>
  <si>
    <t xml:space="preserve">Interaction</t>
  </si>
  <si>
    <t xml:space="preserve">Minor</t>
  </si>
  <si>
    <t xml:space="preserve">Expected auto-advance on multi-select; waited 5+ sec for Continue button</t>
  </si>
  <si>
    <t xml:space="preserve">E03</t>
  </si>
  <si>
    <t xml:space="preserve">Compare beans</t>
  </si>
  <si>
    <t xml:space="preserve">Catalog</t>
  </si>
  <si>
    <t xml:space="preserve">Missing feature</t>
  </si>
  <si>
    <t xml:space="preserve">Critical</t>
  </si>
  <si>
    <t xml:space="preserve">No comparison feature; tried opening multiple tabs</t>
  </si>
  <si>
    <t xml:space="preserve">E04</t>
  </si>
  <si>
    <t xml:space="preserve">Mismatch</t>
  </si>
  <si>
    <t xml:space="preserve">"Find This Bean Near You" shows generic shops, not purchase options for this bean</t>
  </si>
  <si>
    <t xml:space="preserve">E05</t>
  </si>
  <si>
    <t xml:space="preserve">Used browser tabs as workaround; wants radar overlay</t>
  </si>
  <si>
    <t xml:space="preserve">E06</t>
  </si>
  <si>
    <t xml:space="preserve">Every technical term (MASL, Washed, Clean Cup) was opaque</t>
  </si>
  <si>
    <t xml:space="preserve">E07</t>
  </si>
  <si>
    <t xml:space="preserve">Catalog Filters</t>
  </si>
  <si>
    <t xml:space="preserve">Filter labels (Sweet, Nutty/Cocoa) don't appear on bean detail pages</t>
  </si>
  <si>
    <t xml:space="preserve">E08</t>
  </si>
  <si>
    <t xml:space="preserve">Multi-select Continue confusion</t>
  </si>
  <si>
    <t xml:space="preserve">E09</t>
  </si>
  <si>
    <t xml:space="preserve">Diary</t>
  </si>
  <si>
    <t xml:space="preserve">DiaryView</t>
  </si>
  <si>
    <t xml:space="preserve">Unclear what "Want to Try" status does — expects downstream effects</t>
  </si>
  <si>
    <t xml:space="preserve">N/A</t>
  </si>
  <si>
    <t xml:space="preserve">E10</t>
  </si>
  <si>
    <t xml:space="preserve">Layout</t>
  </si>
  <si>
    <t xml:space="preserve">Quiz result cards cramped on iPhone 13 mini screen</t>
  </si>
  <si>
    <t xml:space="preserve">E11</t>
  </si>
  <si>
    <t xml:space="preserve">E12</t>
  </si>
  <si>
    <t xml:space="preserve">Social</t>
  </si>
  <si>
    <t xml:space="preserve">SocialFeed</t>
  </si>
  <si>
    <t xml:space="preserve">Trust</t>
  </si>
  <si>
    <t xml:space="preserve">Social feed feels like demo data; no interaction possible; "read-only"</t>
  </si>
  <si>
    <t xml:space="preserve">E13</t>
  </si>
  <si>
    <t xml:space="preserve">No wholesale/sourcing info; consumer pricing only</t>
  </si>
  <si>
    <t xml:space="preserve">E14</t>
  </si>
  <si>
    <t xml:space="preserve">Education</t>
  </si>
  <si>
    <t xml:space="preserve">App-wide</t>
  </si>
  <si>
    <t xml:space="preserve">No glossary, FAQ, or education section despite extensive technical data</t>
  </si>
  <si>
    <t xml:space="preserve">E15</t>
  </si>
  <si>
    <t xml:space="preserve">Wants structured ratings (own 1-5 scores) not just freeform text</t>
  </si>
  <si>
    <t xml:space="preserve">Theme</t>
  </si>
  <si>
    <t xml:space="preserve">Category</t>
  </si>
  <si>
    <t xml:space="preserve">Frequency</t>
  </si>
  <si>
    <t xml:space="preserve">Participants</t>
  </si>
  <si>
    <t xml:space="preserve">Supporting Quotes</t>
  </si>
  <si>
    <t xml:space="preserve">Suggested Owner</t>
  </si>
  <si>
    <t xml:space="preserve">Cupping scores lack context</t>
  </si>
  <si>
    <t xml:space="preserve">Sarah, Marcus, Priya, Devon, Lisa</t>
  </si>
  <si>
    <t xml:space="preserve">"Is 8.42 good?" / "I have no frame of reference" / "tell me what that means"</t>
  </si>
  <si>
    <t xml:space="preserve">Designer + Copywriter</t>
  </si>
  <si>
    <t xml:space="preserve">No bean comparison feature</t>
  </si>
  <si>
    <t xml:space="preserve">All participants</t>
  </si>
  <si>
    <t xml:space="preserve">"compare these two" / "side-by-side" / "overlay the radar charts"</t>
  </si>
  <si>
    <t xml:space="preserve">Designer</t>
  </si>
  <si>
    <t xml:space="preserve">Quiz → catalog disconnect</t>
  </si>
  <si>
    <t xml:space="preserve">Flow</t>
  </si>
  <si>
    <t xml:space="preserve">Sarah, Priya, Devon</t>
  </si>
  <si>
    <t xml:space="preserve">"these aren't personalized?" / "quiz got me excited, landing was a letdown"</t>
  </si>
  <si>
    <t xml:space="preserve">Technical jargon unexplained</t>
  </si>
  <si>
    <t xml:space="preserve">Sarah, Priya, Devon, Lisa</t>
  </si>
  <si>
    <t xml:space="preserve">"What's MASL?" / "What does Washed mean?" / "need tooltips"</t>
  </si>
  <si>
    <t xml:space="preserve">Copywriter + Researcher</t>
  </si>
  <si>
    <t xml:space="preserve">No glossary/education section</t>
  </si>
  <si>
    <t xml:space="preserve">Priya, Lisa, Tom (interview)</t>
  </si>
  <si>
    <t xml:space="preserve">"I need more hand-holding" / "help people understand it"</t>
  </si>
  <si>
    <t xml:space="preserve">Researcher + Copywriter</t>
  </si>
  <si>
    <t xml:space="preserve">Brew guide ↔ beans not connected</t>
  </si>
  <si>
    <t xml:space="preserve">Sarah, Marcus, Devon, Lisa</t>
  </si>
  <si>
    <t xml:space="preserve">"I wish the bean pages linked to this" / "show me the washed Ethiopians"</t>
  </si>
  <si>
    <t xml:space="preserve">Multi-select Continue inconsistency (Q4)</t>
  </si>
  <si>
    <t xml:space="preserve">Sarah, Priya, Devon (+ observed)</t>
  </si>
  <si>
    <t xml:space="preserve">"Why isn't it moving?" / waited 5-8 sec each time</t>
  </si>
  <si>
    <t xml:space="preserve">Designer + QA Reviewer</t>
  </si>
  <si>
    <t xml:space="preserve">"Find This Bean Near You" misleading</t>
  </si>
  <si>
    <t xml:space="preserve">Marcus, Devon</t>
  </si>
  <si>
    <t xml:space="preserve">"I thought these would sell this exact bean" / "that's misleading"</t>
  </si>
  <si>
    <t xml:space="preserve">Copywriter + Designer</t>
  </si>
  <si>
    <t xml:space="preserve">Diary needs structured entries</t>
  </si>
  <si>
    <t xml:space="preserve">Marcus, Lisa, Jordan (interview)</t>
  </si>
  <si>
    <t xml:space="preserve">"brew method, dose, ratio, grind setting" / "not just a text box"</t>
  </si>
  <si>
    <t xml:space="preserve">Filter labels ≠ bean page content</t>
  </si>
  <si>
    <t xml:space="preserve">Priya, Sarah</t>
  </si>
  <si>
    <t xml:space="preserve">"filter labels and bean pages speak different languages"</t>
  </si>
  <si>
    <t xml:space="preserve">Social feed feels inauthentic</t>
  </si>
  <si>
    <t xml:space="preserve">Devon, Marcus</t>
  </si>
  <si>
    <t xml:space="preserve">"read-only social feed" / "who are these people?"</t>
  </si>
  <si>
    <t xml:space="preserve">"Want to Try" status feels inert</t>
  </si>
  <si>
    <t xml:space="preserve">Priya, Devon</t>
  </si>
  <si>
    <t xml:space="preserve">"Does marking Want to Try do anything?" / no downstream effects</t>
  </si>
  <si>
    <t xml:space="preserve">No roast level data/filter</t>
  </si>
  <si>
    <t xml:space="preserve">Missing data</t>
  </si>
  <si>
    <t xml:space="preserve">Devon, Rachel (interview)</t>
  </si>
  <si>
    <t xml:space="preserve">Brew guide recommends by roast level but catalog can't filter by it</t>
  </si>
  <si>
    <t xml:space="preserve">Researcher</t>
  </si>
  <si>
    <t xml:space="preserve">Quiz too basic for experts</t>
  </si>
  <si>
    <t xml:space="preserve">Flexibility</t>
  </si>
  <si>
    <t xml:space="preserve">Marcus</t>
  </si>
  <si>
    <t xml:space="preserve">"These questions are fine for beginners. For me they're too broad."</t>
  </si>
  <si>
    <t xml:space="preserve">"Diary" naming feels heavy</t>
  </si>
  <si>
    <t xml:space="preserve">Naming</t>
  </si>
  <si>
    <t xml:space="preserve">Rachel (interview)</t>
  </si>
  <si>
    <t xml:space="preserve">"Don't call it a diary — that sounds like a commitment"</t>
  </si>
  <si>
    <t xml:space="preserve">Copywriter</t>
  </si>
  <si>
    <t xml:space="preserve">Type</t>
  </si>
  <si>
    <t xml:space="preserve">NPS Score</t>
  </si>
  <si>
    <t xml:space="preserve">Top Positive</t>
  </si>
  <si>
    <t xml:space="preserve">Top Negative</t>
  </si>
  <si>
    <t xml:space="preserve">One Fix</t>
  </si>
  <si>
    <t xml:space="preserve">Usability</t>
  </si>
  <si>
    <t xml:space="preserve">Passive</t>
  </si>
  <si>
    <t xml:space="preserve">Brew guide clarity; visual design</t>
  </si>
  <si>
    <t xml:space="preserve">Cupping scores meaningless without context</t>
  </si>
  <si>
    <t xml:space="preserve">Quiz results → save beans flow</t>
  </si>
  <si>
    <t xml:space="preserve">Promoter</t>
  </si>
  <si>
    <t xml:space="preserve">Data quality; cupping scores; filters</t>
  </si>
  <si>
    <t xml:space="preserve">"Find Near You" misleading; no comparison</t>
  </si>
  <si>
    <t xml:space="preserve">Brew guide ↔ bean linking</t>
  </si>
  <si>
    <t xml:space="preserve">Detractor</t>
  </si>
  <si>
    <t xml:space="preserve">Design aesthetics; quiz personality</t>
  </si>
  <si>
    <t xml:space="preserve">Jargon everywhere without explanation</t>
  </si>
  <si>
    <t xml:space="preserve">Bridge quiz language and catalog language</t>
  </si>
  <si>
    <t xml:space="preserve">Brew guide educational; dark theme</t>
  </si>
  <si>
    <t xml:space="preserve">Social feed incomplete; mobile cramped</t>
  </si>
  <si>
    <t xml:space="preserve">Brew guide → buy beans flow</t>
  </si>
  <si>
    <t xml:space="preserve">Data depth; iPad layout; brew guide</t>
  </si>
  <si>
    <t xml:space="preserve">No education section; no wholesale info</t>
  </si>
  <si>
    <t xml:space="preserve">Add glossary/education section</t>
  </si>
  <si>
    <t xml:space="preserve">Jordan W.</t>
  </si>
  <si>
    <t xml:space="preserve">Interview</t>
  </si>
  <si>
    <t xml:space="preserve">Concept; diary idea; quiz fun</t>
  </si>
  <si>
    <t xml:space="preserve">No "beans like this"; no brew recipes per bean</t>
  </si>
  <si>
    <t xml:space="preserve">"Beans like this" recommendation</t>
  </si>
  <si>
    <t xml:space="preserve">Rachel S.</t>
  </si>
  <si>
    <t xml:space="preserve">Concept is appealing</t>
  </si>
  <si>
    <t xml:space="preserve">Too intimidating; assumes knowledge</t>
  </si>
  <si>
    <t xml:space="preserve">Plain language recommendations</t>
  </si>
  <si>
    <t xml:space="preserve">Tom H.</t>
  </si>
  <si>
    <t xml:space="preserve">CQI data quality; educational potential</t>
  </si>
  <si>
    <t xml:space="preserve">Single-user only; no collaborative features</t>
  </si>
  <si>
    <t xml:space="preserve">Interactive flavor wheel</t>
  </si>
  <si>
    <t xml:space="preserve">NPS Calculation</t>
  </si>
  <si>
    <t xml:space="preserve">Promoters (9-10)</t>
  </si>
  <si>
    <t xml:space="preserve">Passives (7-8)</t>
  </si>
  <si>
    <t xml:space="preserve">Detractors (0-6)</t>
  </si>
  <si>
    <t xml:space="preserve">Total Responses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</si>
</sst>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C8956C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C8956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D2D2D"/>
        <bgColor rgb="FF333300"/>
      </patternFill>
    </fill>
    <fill>
      <patternFill patternType="solid">
        <fgColor rgb="FFF8F8F8"/>
        <bgColor rgb="FFFFFFFF"/>
      </patternFill>
    </fill>
    <fill>
      <patternFill patternType="solid">
        <fgColor rgb="FFD4EDDA"/>
        <bgColor rgb="FFDDDDDD"/>
      </patternFill>
    </fill>
    <fill>
      <patternFill patternType="solid">
        <fgColor rgb="FFFFF3CD"/>
        <bgColor rgb="FFF8F8F8"/>
      </patternFill>
    </fill>
    <fill>
      <patternFill patternType="solid">
        <fgColor rgb="FFF8D7DA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8F8F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C8956C"/>
      <rgbColor rgb="FF003366"/>
      <rgbColor rgb="FF339966"/>
      <rgbColor rgb="FF003300"/>
      <rgbColor rgb="FF333300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8" min="7" style="0" width="8"/>
    <col collapsed="false" customWidth="true" hidden="false" outlineLevel="0" max="9" min="9" style="0" width="14"/>
    <col collapsed="false" customWidth="true" hidden="false" outlineLevel="0" max="10" min="10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142</v>
      </c>
      <c r="G2" s="2" t="n">
        <v>1</v>
      </c>
      <c r="H2" s="2" t="n">
        <v>0</v>
      </c>
      <c r="I2" s="2" t="n">
        <v>4</v>
      </c>
      <c r="J2" s="2" t="s">
        <v>15</v>
      </c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16</v>
      </c>
      <c r="E3" s="4" t="s">
        <v>14</v>
      </c>
      <c r="F3" s="3" t="n">
        <v>95</v>
      </c>
      <c r="G3" s="3" t="n">
        <v>1</v>
      </c>
      <c r="H3" s="3" t="n">
        <v>0</v>
      </c>
      <c r="I3" s="3" t="n">
        <v>2</v>
      </c>
      <c r="J3" s="3" t="s">
        <v>17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12</v>
      </c>
      <c r="D4" s="2" t="s">
        <v>18</v>
      </c>
      <c r="E4" s="2" t="s">
        <v>14</v>
      </c>
      <c r="F4" s="2" t="n">
        <v>38</v>
      </c>
      <c r="G4" s="2" t="n">
        <v>0</v>
      </c>
      <c r="H4" s="2" t="n">
        <v>0</v>
      </c>
      <c r="I4" s="2" t="n">
        <v>1</v>
      </c>
      <c r="J4" s="2" t="s">
        <v>19</v>
      </c>
    </row>
    <row r="5" customFormat="false" ht="15" hidden="false" customHeight="false" outlineLevel="0" collapsed="false">
      <c r="A5" s="3" t="s">
        <v>10</v>
      </c>
      <c r="B5" s="3" t="s">
        <v>11</v>
      </c>
      <c r="C5" s="3" t="s">
        <v>12</v>
      </c>
      <c r="D5" s="3" t="s">
        <v>20</v>
      </c>
      <c r="E5" s="4" t="s">
        <v>14</v>
      </c>
      <c r="F5" s="3" t="n">
        <v>15</v>
      </c>
      <c r="G5" s="3" t="n">
        <v>0</v>
      </c>
      <c r="H5" s="3" t="n">
        <v>0</v>
      </c>
      <c r="I5" s="3" t="n">
        <v>1</v>
      </c>
      <c r="J5" s="3" t="s">
        <v>21</v>
      </c>
    </row>
    <row r="6" customFormat="false" ht="15" hidden="false" customHeight="false" outlineLevel="0" collapsed="false">
      <c r="A6" s="2" t="s">
        <v>10</v>
      </c>
      <c r="B6" s="2" t="s">
        <v>11</v>
      </c>
      <c r="C6" s="2" t="s">
        <v>12</v>
      </c>
      <c r="D6" s="2" t="s">
        <v>22</v>
      </c>
      <c r="E6" s="2" t="s">
        <v>23</v>
      </c>
      <c r="F6" s="2" t="n">
        <v>180</v>
      </c>
      <c r="G6" s="2" t="n">
        <v>2</v>
      </c>
      <c r="H6" s="2" t="n">
        <v>1</v>
      </c>
      <c r="I6" s="2" t="n">
        <v>5</v>
      </c>
      <c r="J6" s="2" t="s">
        <v>24</v>
      </c>
    </row>
    <row r="7" customFormat="false" ht="15" hidden="false" customHeight="false" outlineLevel="0" collapsed="false">
      <c r="A7" s="3" t="s">
        <v>25</v>
      </c>
      <c r="B7" s="3" t="s">
        <v>11</v>
      </c>
      <c r="C7" s="3" t="s">
        <v>26</v>
      </c>
      <c r="D7" s="3" t="s">
        <v>13</v>
      </c>
      <c r="E7" s="4" t="s">
        <v>14</v>
      </c>
      <c r="F7" s="3" t="n">
        <v>45</v>
      </c>
      <c r="G7" s="3" t="n">
        <v>0</v>
      </c>
      <c r="H7" s="3" t="n">
        <v>0</v>
      </c>
      <c r="I7" s="3" t="n">
        <v>1</v>
      </c>
      <c r="J7" s="3" t="s">
        <v>27</v>
      </c>
    </row>
    <row r="8" customFormat="false" ht="15" hidden="false" customHeight="false" outlineLevel="0" collapsed="false">
      <c r="A8" s="2" t="s">
        <v>25</v>
      </c>
      <c r="B8" s="2" t="s">
        <v>11</v>
      </c>
      <c r="C8" s="2" t="s">
        <v>26</v>
      </c>
      <c r="D8" s="2" t="s">
        <v>16</v>
      </c>
      <c r="E8" s="2" t="s">
        <v>14</v>
      </c>
      <c r="F8" s="2" t="n">
        <v>68</v>
      </c>
      <c r="G8" s="2" t="n">
        <v>0</v>
      </c>
      <c r="H8" s="2" t="n">
        <v>0</v>
      </c>
      <c r="I8" s="2" t="n">
        <v>2</v>
      </c>
      <c r="J8" s="2" t="s">
        <v>28</v>
      </c>
    </row>
    <row r="9" customFormat="false" ht="15" hidden="false" customHeight="false" outlineLevel="0" collapsed="false">
      <c r="A9" s="3" t="s">
        <v>25</v>
      </c>
      <c r="B9" s="3" t="s">
        <v>11</v>
      </c>
      <c r="C9" s="3" t="s">
        <v>26</v>
      </c>
      <c r="D9" s="3" t="s">
        <v>18</v>
      </c>
      <c r="E9" s="4" t="s">
        <v>14</v>
      </c>
      <c r="F9" s="3" t="n">
        <v>22</v>
      </c>
      <c r="G9" s="3" t="n">
        <v>0</v>
      </c>
      <c r="H9" s="3" t="n">
        <v>0</v>
      </c>
      <c r="I9" s="3" t="n">
        <v>1</v>
      </c>
      <c r="J9" s="3" t="s">
        <v>29</v>
      </c>
    </row>
    <row r="10" customFormat="false" ht="15" hidden="false" customHeight="false" outlineLevel="0" collapsed="false">
      <c r="A10" s="2" t="s">
        <v>25</v>
      </c>
      <c r="B10" s="2" t="s">
        <v>11</v>
      </c>
      <c r="C10" s="2" t="s">
        <v>26</v>
      </c>
      <c r="D10" s="2" t="s">
        <v>20</v>
      </c>
      <c r="E10" s="2" t="s">
        <v>14</v>
      </c>
      <c r="F10" s="2" t="n">
        <v>12</v>
      </c>
      <c r="G10" s="2" t="n">
        <v>0</v>
      </c>
      <c r="H10" s="2" t="n">
        <v>0</v>
      </c>
      <c r="I10" s="2" t="n">
        <v>1</v>
      </c>
      <c r="J10" s="2" t="s">
        <v>30</v>
      </c>
    </row>
    <row r="11" customFormat="false" ht="15" hidden="false" customHeight="false" outlineLevel="0" collapsed="false">
      <c r="A11" s="3" t="s">
        <v>25</v>
      </c>
      <c r="B11" s="3" t="s">
        <v>11</v>
      </c>
      <c r="C11" s="3" t="s">
        <v>26</v>
      </c>
      <c r="D11" s="3" t="s">
        <v>22</v>
      </c>
      <c r="E11" s="5" t="s">
        <v>31</v>
      </c>
      <c r="F11" s="3" t="n">
        <v>120</v>
      </c>
      <c r="G11" s="3" t="n">
        <v>1</v>
      </c>
      <c r="H11" s="3" t="n">
        <v>0</v>
      </c>
      <c r="I11" s="3" t="n">
        <v>4</v>
      </c>
      <c r="J11" s="3" t="s">
        <v>32</v>
      </c>
    </row>
    <row r="12" customFormat="false" ht="15" hidden="false" customHeight="false" outlineLevel="0" collapsed="false">
      <c r="A12" s="2" t="s">
        <v>33</v>
      </c>
      <c r="B12" s="2" t="s">
        <v>34</v>
      </c>
      <c r="C12" s="2" t="s">
        <v>35</v>
      </c>
      <c r="D12" s="2" t="s">
        <v>13</v>
      </c>
      <c r="E12" s="2" t="s">
        <v>14</v>
      </c>
      <c r="F12" s="2" t="n">
        <v>210</v>
      </c>
      <c r="G12" s="2" t="n">
        <v>3</v>
      </c>
      <c r="H12" s="2" t="n">
        <v>1</v>
      </c>
      <c r="I12" s="2" t="n">
        <v>5</v>
      </c>
      <c r="J12" s="2" t="s">
        <v>36</v>
      </c>
    </row>
    <row r="13" customFormat="false" ht="15" hidden="false" customHeight="false" outlineLevel="0" collapsed="false">
      <c r="A13" s="3" t="s">
        <v>33</v>
      </c>
      <c r="B13" s="3" t="s">
        <v>34</v>
      </c>
      <c r="C13" s="3" t="s">
        <v>35</v>
      </c>
      <c r="D13" s="3" t="s">
        <v>16</v>
      </c>
      <c r="E13" s="4" t="s">
        <v>14</v>
      </c>
      <c r="F13" s="3" t="n">
        <v>82</v>
      </c>
      <c r="G13" s="3" t="n">
        <v>1</v>
      </c>
      <c r="H13" s="3" t="n">
        <v>0</v>
      </c>
      <c r="I13" s="3" t="n">
        <v>2</v>
      </c>
      <c r="J13" s="3" t="s">
        <v>37</v>
      </c>
    </row>
    <row r="14" customFormat="false" ht="15" hidden="false" customHeight="false" outlineLevel="0" collapsed="false">
      <c r="A14" s="2" t="s">
        <v>33</v>
      </c>
      <c r="B14" s="2" t="s">
        <v>34</v>
      </c>
      <c r="C14" s="2" t="s">
        <v>35</v>
      </c>
      <c r="D14" s="2" t="s">
        <v>18</v>
      </c>
      <c r="E14" s="2" t="s">
        <v>14</v>
      </c>
      <c r="F14" s="2" t="n">
        <v>55</v>
      </c>
      <c r="G14" s="2" t="n">
        <v>1</v>
      </c>
      <c r="H14" s="2" t="n">
        <v>0</v>
      </c>
      <c r="I14" s="2" t="n">
        <v>2</v>
      </c>
      <c r="J14" s="2" t="s">
        <v>38</v>
      </c>
    </row>
    <row r="15" customFormat="false" ht="15" hidden="false" customHeight="false" outlineLevel="0" collapsed="false">
      <c r="A15" s="3" t="s">
        <v>33</v>
      </c>
      <c r="B15" s="3" t="s">
        <v>34</v>
      </c>
      <c r="C15" s="3" t="s">
        <v>35</v>
      </c>
      <c r="D15" s="3" t="s">
        <v>20</v>
      </c>
      <c r="E15" s="4" t="s">
        <v>14</v>
      </c>
      <c r="F15" s="3" t="n">
        <v>20</v>
      </c>
      <c r="G15" s="3" t="n">
        <v>0</v>
      </c>
      <c r="H15" s="3" t="n">
        <v>0</v>
      </c>
      <c r="I15" s="3" t="n">
        <v>1</v>
      </c>
      <c r="J15" s="3" t="s">
        <v>39</v>
      </c>
    </row>
    <row r="16" customFormat="false" ht="15" hidden="false" customHeight="false" outlineLevel="0" collapsed="false">
      <c r="A16" s="2" t="s">
        <v>33</v>
      </c>
      <c r="B16" s="2" t="s">
        <v>34</v>
      </c>
      <c r="C16" s="2" t="s">
        <v>35</v>
      </c>
      <c r="D16" s="2" t="s">
        <v>22</v>
      </c>
      <c r="E16" s="2" t="s">
        <v>23</v>
      </c>
      <c r="F16" s="2" t="n">
        <v>150</v>
      </c>
      <c r="G16" s="2" t="n">
        <v>2</v>
      </c>
      <c r="H16" s="2" t="n">
        <v>1</v>
      </c>
      <c r="I16" s="2" t="n">
        <v>5</v>
      </c>
      <c r="J16" s="2" t="s">
        <v>40</v>
      </c>
    </row>
    <row r="17" customFormat="false" ht="15" hidden="false" customHeight="false" outlineLevel="0" collapsed="false">
      <c r="A17" s="3" t="s">
        <v>41</v>
      </c>
      <c r="B17" s="3" t="s">
        <v>34</v>
      </c>
      <c r="C17" s="3" t="s">
        <v>42</v>
      </c>
      <c r="D17" s="3" t="s">
        <v>13</v>
      </c>
      <c r="E17" s="4" t="s">
        <v>14</v>
      </c>
      <c r="F17" s="3" t="n">
        <v>95</v>
      </c>
      <c r="G17" s="3" t="n">
        <v>1</v>
      </c>
      <c r="H17" s="3" t="n">
        <v>0</v>
      </c>
      <c r="I17" s="3" t="n">
        <v>3</v>
      </c>
      <c r="J17" s="3" t="s">
        <v>43</v>
      </c>
    </row>
    <row r="18" customFormat="false" ht="15" hidden="false" customHeight="false" outlineLevel="0" collapsed="false">
      <c r="A18" s="2" t="s">
        <v>41</v>
      </c>
      <c r="B18" s="2" t="s">
        <v>34</v>
      </c>
      <c r="C18" s="2" t="s">
        <v>42</v>
      </c>
      <c r="D18" s="2" t="s">
        <v>16</v>
      </c>
      <c r="E18" s="2" t="s">
        <v>14</v>
      </c>
      <c r="F18" s="2" t="n">
        <v>75</v>
      </c>
      <c r="G18" s="2" t="n">
        <v>1</v>
      </c>
      <c r="H18" s="2" t="n">
        <v>0</v>
      </c>
      <c r="I18" s="2" t="n">
        <v>2</v>
      </c>
      <c r="J18" s="2" t="s">
        <v>44</v>
      </c>
    </row>
    <row r="19" customFormat="false" ht="15" hidden="false" customHeight="false" outlineLevel="0" collapsed="false">
      <c r="A19" s="3" t="s">
        <v>41</v>
      </c>
      <c r="B19" s="3" t="s">
        <v>34</v>
      </c>
      <c r="C19" s="3" t="s">
        <v>42</v>
      </c>
      <c r="D19" s="3" t="s">
        <v>18</v>
      </c>
      <c r="E19" s="4" t="s">
        <v>14</v>
      </c>
      <c r="F19" s="3" t="n">
        <v>30</v>
      </c>
      <c r="G19" s="3" t="n">
        <v>0</v>
      </c>
      <c r="H19" s="3" t="n">
        <v>0</v>
      </c>
      <c r="I19" s="3" t="n">
        <v>1</v>
      </c>
      <c r="J19" s="3" t="s">
        <v>45</v>
      </c>
    </row>
    <row r="20" customFormat="false" ht="15" hidden="false" customHeight="false" outlineLevel="0" collapsed="false">
      <c r="A20" s="2" t="s">
        <v>41</v>
      </c>
      <c r="B20" s="2" t="s">
        <v>34</v>
      </c>
      <c r="C20" s="2" t="s">
        <v>42</v>
      </c>
      <c r="D20" s="2" t="s">
        <v>20</v>
      </c>
      <c r="E20" s="2" t="s">
        <v>14</v>
      </c>
      <c r="F20" s="2" t="n">
        <v>18</v>
      </c>
      <c r="G20" s="2" t="n">
        <v>0</v>
      </c>
      <c r="H20" s="2" t="n">
        <v>0</v>
      </c>
      <c r="I20" s="2" t="n">
        <v>1</v>
      </c>
      <c r="J20" s="2" t="s">
        <v>46</v>
      </c>
    </row>
    <row r="21" customFormat="false" ht="15" hidden="false" customHeight="false" outlineLevel="0" collapsed="false">
      <c r="A21" s="3" t="s">
        <v>41</v>
      </c>
      <c r="B21" s="3" t="s">
        <v>34</v>
      </c>
      <c r="C21" s="3" t="s">
        <v>42</v>
      </c>
      <c r="D21" s="3" t="s">
        <v>22</v>
      </c>
      <c r="E21" s="6" t="s">
        <v>23</v>
      </c>
      <c r="F21" s="3" t="n">
        <v>90</v>
      </c>
      <c r="G21" s="3" t="n">
        <v>1</v>
      </c>
      <c r="H21" s="3" t="n">
        <v>0</v>
      </c>
      <c r="I21" s="3" t="n">
        <v>5</v>
      </c>
      <c r="J21" s="3" t="s">
        <v>47</v>
      </c>
    </row>
    <row r="22" customFormat="false" ht="15" hidden="false" customHeight="false" outlineLevel="0" collapsed="false">
      <c r="A22" s="2" t="s">
        <v>48</v>
      </c>
      <c r="B22" s="2" t="s">
        <v>49</v>
      </c>
      <c r="C22" s="2" t="s">
        <v>50</v>
      </c>
      <c r="D22" s="2" t="s">
        <v>13</v>
      </c>
      <c r="E22" s="2" t="s">
        <v>14</v>
      </c>
      <c r="F22" s="2" t="n">
        <v>65</v>
      </c>
      <c r="G22" s="2" t="n">
        <v>0</v>
      </c>
      <c r="H22" s="2" t="n">
        <v>0</v>
      </c>
      <c r="I22" s="2" t="n">
        <v>2</v>
      </c>
      <c r="J22" s="2" t="s">
        <v>51</v>
      </c>
    </row>
    <row r="23" customFormat="false" ht="15" hidden="false" customHeight="false" outlineLevel="0" collapsed="false">
      <c r="A23" s="3" t="s">
        <v>48</v>
      </c>
      <c r="B23" s="3" t="s">
        <v>49</v>
      </c>
      <c r="C23" s="3" t="s">
        <v>50</v>
      </c>
      <c r="D23" s="3" t="s">
        <v>16</v>
      </c>
      <c r="E23" s="4" t="s">
        <v>14</v>
      </c>
      <c r="F23" s="3" t="n">
        <v>78</v>
      </c>
      <c r="G23" s="3" t="n">
        <v>0</v>
      </c>
      <c r="H23" s="3" t="n">
        <v>0</v>
      </c>
      <c r="I23" s="3" t="n">
        <v>2</v>
      </c>
      <c r="J23" s="3" t="s">
        <v>52</v>
      </c>
    </row>
    <row r="24" customFormat="false" ht="15" hidden="false" customHeight="false" outlineLevel="0" collapsed="false">
      <c r="A24" s="2" t="s">
        <v>48</v>
      </c>
      <c r="B24" s="2" t="s">
        <v>49</v>
      </c>
      <c r="C24" s="2" t="s">
        <v>50</v>
      </c>
      <c r="D24" s="2" t="s">
        <v>18</v>
      </c>
      <c r="E24" s="2" t="s">
        <v>14</v>
      </c>
      <c r="F24" s="2" t="n">
        <v>35</v>
      </c>
      <c r="G24" s="2" t="n">
        <v>0</v>
      </c>
      <c r="H24" s="2" t="n">
        <v>0</v>
      </c>
      <c r="I24" s="2" t="n">
        <v>1</v>
      </c>
      <c r="J24" s="2" t="s">
        <v>53</v>
      </c>
    </row>
    <row r="25" customFormat="false" ht="15" hidden="false" customHeight="false" outlineLevel="0" collapsed="false">
      <c r="A25" s="3" t="s">
        <v>48</v>
      </c>
      <c r="B25" s="3" t="s">
        <v>49</v>
      </c>
      <c r="C25" s="3" t="s">
        <v>50</v>
      </c>
      <c r="D25" s="3" t="s">
        <v>20</v>
      </c>
      <c r="E25" s="4" t="s">
        <v>14</v>
      </c>
      <c r="F25" s="3" t="n">
        <v>14</v>
      </c>
      <c r="G25" s="3" t="n">
        <v>0</v>
      </c>
      <c r="H25" s="3" t="n">
        <v>0</v>
      </c>
      <c r="I25" s="3" t="n">
        <v>1</v>
      </c>
      <c r="J25" s="3" t="s">
        <v>54</v>
      </c>
    </row>
    <row r="26" customFormat="false" ht="15" hidden="false" customHeight="false" outlineLevel="0" collapsed="false">
      <c r="A26" s="2" t="s">
        <v>48</v>
      </c>
      <c r="B26" s="2" t="s">
        <v>49</v>
      </c>
      <c r="C26" s="2" t="s">
        <v>50</v>
      </c>
      <c r="D26" s="2" t="s">
        <v>22</v>
      </c>
      <c r="E26" s="2" t="s">
        <v>23</v>
      </c>
      <c r="F26" s="2" t="n">
        <v>110</v>
      </c>
      <c r="G26" s="2" t="n">
        <v>1</v>
      </c>
      <c r="H26" s="2" t="n">
        <v>0</v>
      </c>
      <c r="I26" s="2" t="n">
        <v>5</v>
      </c>
      <c r="J26" s="2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0" width="14"/>
    <col collapsed="false" customWidth="true" hidden="false" outlineLevel="0" max="12" min="12" style="0" width="12"/>
  </cols>
  <sheetData>
    <row r="1" customFormat="false" ht="30" hidden="false" customHeight="true" outlineLevel="0" collapsed="false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customFormat="false" ht="15" hidden="false" customHeight="false" outlineLevel="0" collapsed="false">
      <c r="A2" s="2" t="s">
        <v>10</v>
      </c>
      <c r="B2" s="2" t="n">
        <v>3</v>
      </c>
      <c r="C2" s="2" t="n">
        <v>3</v>
      </c>
      <c r="D2" s="2" t="n">
        <v>3</v>
      </c>
      <c r="E2" s="2" t="n">
        <v>4</v>
      </c>
      <c r="F2" s="2" t="n">
        <v>3</v>
      </c>
      <c r="G2" s="2" t="n">
        <v>3</v>
      </c>
      <c r="H2" s="2" t="n">
        <v>4</v>
      </c>
      <c r="I2" s="2" t="n">
        <v>3</v>
      </c>
      <c r="J2" s="2" t="n">
        <v>3</v>
      </c>
      <c r="K2" s="2" t="n">
        <v>4</v>
      </c>
      <c r="L2" s="2" t="n">
        <f aca="false">((B2-1)+(5-C2)+(D2-1)+(5-E2)+(F2-1)+(5-G2)+(H2-1)+(5-I2)+(J2-1)+(5-K2))*2.5</f>
        <v>47.5</v>
      </c>
    </row>
    <row r="3" customFormat="false" ht="15" hidden="false" customHeight="false" outlineLevel="0" collapsed="false">
      <c r="A3" s="3" t="s">
        <v>25</v>
      </c>
      <c r="B3" s="3" t="n">
        <v>4</v>
      </c>
      <c r="C3" s="3" t="n">
        <v>2</v>
      </c>
      <c r="D3" s="3" t="n">
        <v>4</v>
      </c>
      <c r="E3" s="3" t="n">
        <v>1</v>
      </c>
      <c r="F3" s="3" t="n">
        <v>4</v>
      </c>
      <c r="G3" s="3" t="n">
        <v>2</v>
      </c>
      <c r="H3" s="3" t="n">
        <v>5</v>
      </c>
      <c r="I3" s="3" t="n">
        <v>2</v>
      </c>
      <c r="J3" s="3" t="n">
        <v>4</v>
      </c>
      <c r="K3" s="3" t="n">
        <v>1</v>
      </c>
      <c r="L3" s="3" t="n">
        <f aca="false">((B3-1)+(5-C3)+(D3-1)+(5-E3)+(F3-1)+(5-G3)+(H3-1)+(5-I3)+(J3-1)+(5-K3))*2.5</f>
        <v>82.5</v>
      </c>
    </row>
    <row r="4" customFormat="false" ht="15" hidden="false" customHeight="false" outlineLevel="0" collapsed="false">
      <c r="A4" s="2" t="s">
        <v>33</v>
      </c>
      <c r="B4" s="2" t="n">
        <v>3</v>
      </c>
      <c r="C4" s="2" t="n">
        <v>4</v>
      </c>
      <c r="D4" s="2" t="n">
        <v>2</v>
      </c>
      <c r="E4" s="2" t="n">
        <v>4</v>
      </c>
      <c r="F4" s="2" t="n">
        <v>3</v>
      </c>
      <c r="G4" s="2" t="n">
        <v>3</v>
      </c>
      <c r="H4" s="2" t="n">
        <v>3</v>
      </c>
      <c r="I4" s="2" t="n">
        <v>4</v>
      </c>
      <c r="J4" s="2" t="n">
        <v>2</v>
      </c>
      <c r="K4" s="2" t="n">
        <v>5</v>
      </c>
      <c r="L4" s="2" t="n">
        <f aca="false">((B4-1)+(5-C4)+(D4-1)+(5-E4)+(F4-1)+(5-G4)+(H4-1)+(5-I4)+(J4-1)+(5-K4))*2.5</f>
        <v>32.5</v>
      </c>
    </row>
    <row r="5" customFormat="false" ht="15" hidden="false" customHeight="false" outlineLevel="0" collapsed="false">
      <c r="A5" s="3" t="s">
        <v>41</v>
      </c>
      <c r="B5" s="3" t="n">
        <v>4</v>
      </c>
      <c r="C5" s="3" t="n">
        <v>2</v>
      </c>
      <c r="D5" s="3" t="n">
        <v>4</v>
      </c>
      <c r="E5" s="3" t="n">
        <v>2</v>
      </c>
      <c r="F5" s="3" t="n">
        <v>3</v>
      </c>
      <c r="G5" s="3" t="n">
        <v>3</v>
      </c>
      <c r="H5" s="3" t="n">
        <v>4</v>
      </c>
      <c r="I5" s="3" t="n">
        <v>2</v>
      </c>
      <c r="J5" s="3" t="n">
        <v>4</v>
      </c>
      <c r="K5" s="3" t="n">
        <v>2</v>
      </c>
      <c r="L5" s="3" t="n">
        <f aca="false">((B5-1)+(5-C5)+(D5-1)+(5-E5)+(F5-1)+(5-G5)+(H5-1)+(5-I5)+(J5-1)+(5-K5))*2.5</f>
        <v>70</v>
      </c>
    </row>
    <row r="6" customFormat="false" ht="15" hidden="false" customHeight="false" outlineLevel="0" collapsed="false">
      <c r="A6" s="2" t="s">
        <v>48</v>
      </c>
      <c r="B6" s="2" t="n">
        <v>4</v>
      </c>
      <c r="C6" s="2" t="n">
        <v>2</v>
      </c>
      <c r="D6" s="2" t="n">
        <v>4</v>
      </c>
      <c r="E6" s="2" t="n">
        <v>2</v>
      </c>
      <c r="F6" s="2" t="n">
        <v>4</v>
      </c>
      <c r="G6" s="2" t="n">
        <v>2</v>
      </c>
      <c r="H6" s="2" t="n">
        <v>4</v>
      </c>
      <c r="I6" s="2" t="n">
        <v>2</v>
      </c>
      <c r="J6" s="2" t="n">
        <v>4</v>
      </c>
      <c r="K6" s="2" t="n">
        <v>2</v>
      </c>
      <c r="L6" s="2" t="n">
        <f aca="false">((B6-1)+(5-C6)+(D6-1)+(5-E6)+(F6-1)+(5-G6)+(H6-1)+(5-I6)+(J6-1)+(5-K6))*2.5</f>
        <v>75</v>
      </c>
    </row>
    <row r="7" customFormat="false" ht="15" hidden="false" customHeight="false" outlineLevel="0" collapsed="false">
      <c r="A7" s="7" t="s">
        <v>67</v>
      </c>
      <c r="L7" s="8" t="n">
        <f aca="false">AVERAGE(L2:L6)</f>
        <v>61.5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55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" t="s">
        <v>68</v>
      </c>
      <c r="B1" s="1" t="s">
        <v>0</v>
      </c>
      <c r="C1" s="1" t="s">
        <v>3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</row>
    <row r="2" customFormat="false" ht="15" hidden="false" customHeight="false" outlineLevel="0" collapsed="false">
      <c r="A2" s="2" t="s">
        <v>75</v>
      </c>
      <c r="B2" s="2" t="s">
        <v>10</v>
      </c>
      <c r="C2" s="2" t="s">
        <v>76</v>
      </c>
      <c r="D2" s="2" t="s">
        <v>77</v>
      </c>
      <c r="E2" s="2" t="s">
        <v>78</v>
      </c>
      <c r="F2" s="2" t="s">
        <v>79</v>
      </c>
      <c r="G2" s="2" t="s">
        <v>80</v>
      </c>
      <c r="H2" s="2" t="s">
        <v>23</v>
      </c>
      <c r="I2" s="2" t="n">
        <v>30</v>
      </c>
    </row>
    <row r="3" customFormat="false" ht="23.85" hidden="false" customHeight="false" outlineLevel="0" collapsed="false">
      <c r="A3" s="3" t="s">
        <v>81</v>
      </c>
      <c r="B3" s="3" t="s">
        <v>10</v>
      </c>
      <c r="C3" s="3" t="s">
        <v>82</v>
      </c>
      <c r="D3" s="3" t="s">
        <v>83</v>
      </c>
      <c r="E3" s="3" t="s">
        <v>84</v>
      </c>
      <c r="F3" s="4" t="s">
        <v>85</v>
      </c>
      <c r="G3" s="3" t="s">
        <v>86</v>
      </c>
      <c r="H3" s="3" t="s">
        <v>14</v>
      </c>
      <c r="I3" s="3" t="n">
        <v>8</v>
      </c>
    </row>
    <row r="4" customFormat="false" ht="15" hidden="false" customHeight="false" outlineLevel="0" collapsed="false">
      <c r="A4" s="2" t="s">
        <v>87</v>
      </c>
      <c r="B4" s="2" t="s">
        <v>10</v>
      </c>
      <c r="C4" s="2" t="s">
        <v>88</v>
      </c>
      <c r="D4" s="2" t="s">
        <v>89</v>
      </c>
      <c r="E4" s="2" t="s">
        <v>90</v>
      </c>
      <c r="F4" s="2" t="s">
        <v>91</v>
      </c>
      <c r="G4" s="2" t="s">
        <v>92</v>
      </c>
      <c r="H4" s="2" t="s">
        <v>23</v>
      </c>
      <c r="I4" s="2" t="n">
        <v>60</v>
      </c>
    </row>
    <row r="5" customFormat="false" ht="23.85" hidden="false" customHeight="false" outlineLevel="0" collapsed="false">
      <c r="A5" s="3" t="s">
        <v>93</v>
      </c>
      <c r="B5" s="3" t="s">
        <v>25</v>
      </c>
      <c r="C5" s="3" t="s">
        <v>76</v>
      </c>
      <c r="D5" s="3" t="s">
        <v>77</v>
      </c>
      <c r="E5" s="3" t="s">
        <v>94</v>
      </c>
      <c r="F5" s="5" t="s">
        <v>79</v>
      </c>
      <c r="G5" s="3" t="s">
        <v>95</v>
      </c>
      <c r="H5" s="3" t="s">
        <v>23</v>
      </c>
      <c r="I5" s="3" t="n">
        <v>15</v>
      </c>
    </row>
    <row r="6" customFormat="false" ht="15" hidden="false" customHeight="false" outlineLevel="0" collapsed="false">
      <c r="A6" s="2" t="s">
        <v>96</v>
      </c>
      <c r="B6" s="2" t="s">
        <v>25</v>
      </c>
      <c r="C6" s="2" t="s">
        <v>88</v>
      </c>
      <c r="D6" s="2" t="s">
        <v>89</v>
      </c>
      <c r="E6" s="2" t="s">
        <v>90</v>
      </c>
      <c r="F6" s="2" t="s">
        <v>79</v>
      </c>
      <c r="G6" s="2" t="s">
        <v>97</v>
      </c>
      <c r="H6" s="2" t="s">
        <v>31</v>
      </c>
      <c r="I6" s="2" t="n">
        <v>40</v>
      </c>
    </row>
    <row r="7" customFormat="false" ht="15" hidden="false" customHeight="false" outlineLevel="0" collapsed="false">
      <c r="A7" s="3" t="s">
        <v>98</v>
      </c>
      <c r="B7" s="3" t="s">
        <v>33</v>
      </c>
      <c r="C7" s="3" t="s">
        <v>76</v>
      </c>
      <c r="D7" s="3" t="s">
        <v>77</v>
      </c>
      <c r="E7" s="3" t="s">
        <v>78</v>
      </c>
      <c r="F7" s="6" t="s">
        <v>91</v>
      </c>
      <c r="G7" s="3" t="s">
        <v>99</v>
      </c>
      <c r="H7" s="3" t="s">
        <v>23</v>
      </c>
      <c r="I7" s="3" t="n">
        <v>45</v>
      </c>
    </row>
    <row r="8" customFormat="false" ht="23.85" hidden="false" customHeight="false" outlineLevel="0" collapsed="false">
      <c r="A8" s="2" t="s">
        <v>100</v>
      </c>
      <c r="B8" s="2" t="s">
        <v>33</v>
      </c>
      <c r="C8" s="2" t="s">
        <v>76</v>
      </c>
      <c r="D8" s="2" t="s">
        <v>101</v>
      </c>
      <c r="E8" s="2" t="s">
        <v>94</v>
      </c>
      <c r="F8" s="2" t="s">
        <v>79</v>
      </c>
      <c r="G8" s="2" t="s">
        <v>102</v>
      </c>
      <c r="H8" s="2" t="s">
        <v>23</v>
      </c>
      <c r="I8" s="2" t="n">
        <v>30</v>
      </c>
    </row>
    <row r="9" customFormat="false" ht="15" hidden="false" customHeight="false" outlineLevel="0" collapsed="false">
      <c r="A9" s="3" t="s">
        <v>103</v>
      </c>
      <c r="B9" s="3" t="s">
        <v>33</v>
      </c>
      <c r="C9" s="3" t="s">
        <v>82</v>
      </c>
      <c r="D9" s="3" t="s">
        <v>83</v>
      </c>
      <c r="E9" s="3" t="s">
        <v>84</v>
      </c>
      <c r="F9" s="4" t="s">
        <v>85</v>
      </c>
      <c r="G9" s="3" t="s">
        <v>104</v>
      </c>
      <c r="H9" s="3" t="s">
        <v>14</v>
      </c>
      <c r="I9" s="3" t="n">
        <v>6</v>
      </c>
    </row>
    <row r="10" customFormat="false" ht="23.85" hidden="false" customHeight="false" outlineLevel="0" collapsed="false">
      <c r="A10" s="2" t="s">
        <v>105</v>
      </c>
      <c r="B10" s="2" t="s">
        <v>33</v>
      </c>
      <c r="C10" s="2" t="s">
        <v>106</v>
      </c>
      <c r="D10" s="2" t="s">
        <v>107</v>
      </c>
      <c r="E10" s="2" t="s">
        <v>78</v>
      </c>
      <c r="F10" s="2" t="s">
        <v>85</v>
      </c>
      <c r="G10" s="2" t="s">
        <v>108</v>
      </c>
      <c r="H10" s="2" t="s">
        <v>109</v>
      </c>
      <c r="I10" s="2" t="n">
        <v>0</v>
      </c>
    </row>
    <row r="11" customFormat="false" ht="15" hidden="false" customHeight="false" outlineLevel="0" collapsed="false">
      <c r="A11" s="3" t="s">
        <v>110</v>
      </c>
      <c r="B11" s="3" t="s">
        <v>41</v>
      </c>
      <c r="C11" s="3" t="s">
        <v>76</v>
      </c>
      <c r="D11" s="3" t="s">
        <v>89</v>
      </c>
      <c r="E11" s="3" t="s">
        <v>111</v>
      </c>
      <c r="F11" s="4" t="s">
        <v>85</v>
      </c>
      <c r="G11" s="3" t="s">
        <v>112</v>
      </c>
      <c r="H11" s="3" t="s">
        <v>109</v>
      </c>
      <c r="I11" s="3" t="n">
        <v>0</v>
      </c>
    </row>
    <row r="12" customFormat="false" ht="15" hidden="false" customHeight="false" outlineLevel="0" collapsed="false">
      <c r="A12" s="2" t="s">
        <v>113</v>
      </c>
      <c r="B12" s="2" t="s">
        <v>41</v>
      </c>
      <c r="C12" s="2" t="s">
        <v>82</v>
      </c>
      <c r="D12" s="2" t="s">
        <v>83</v>
      </c>
      <c r="E12" s="2" t="s">
        <v>84</v>
      </c>
      <c r="F12" s="2" t="s">
        <v>85</v>
      </c>
      <c r="G12" s="2" t="s">
        <v>104</v>
      </c>
      <c r="H12" s="2" t="s">
        <v>14</v>
      </c>
      <c r="I12" s="2" t="n">
        <v>5</v>
      </c>
    </row>
    <row r="13" customFormat="false" ht="15" hidden="false" customHeight="false" outlineLevel="0" collapsed="false">
      <c r="A13" s="3" t="s">
        <v>114</v>
      </c>
      <c r="B13" s="3" t="s">
        <v>41</v>
      </c>
      <c r="C13" s="3" t="s">
        <v>115</v>
      </c>
      <c r="D13" s="3" t="s">
        <v>116</v>
      </c>
      <c r="E13" s="3" t="s">
        <v>117</v>
      </c>
      <c r="F13" s="5" t="s">
        <v>79</v>
      </c>
      <c r="G13" s="3" t="s">
        <v>118</v>
      </c>
      <c r="H13" s="3" t="s">
        <v>109</v>
      </c>
      <c r="I13" s="3" t="n">
        <v>0</v>
      </c>
    </row>
    <row r="14" customFormat="false" ht="15" hidden="false" customHeight="false" outlineLevel="0" collapsed="false">
      <c r="A14" s="2" t="s">
        <v>119</v>
      </c>
      <c r="B14" s="2" t="s">
        <v>48</v>
      </c>
      <c r="C14" s="2" t="s">
        <v>76</v>
      </c>
      <c r="D14" s="2" t="s">
        <v>77</v>
      </c>
      <c r="E14" s="2" t="s">
        <v>90</v>
      </c>
      <c r="F14" s="2" t="s">
        <v>79</v>
      </c>
      <c r="G14" s="2" t="s">
        <v>120</v>
      </c>
      <c r="H14" s="2" t="s">
        <v>23</v>
      </c>
      <c r="I14" s="2" t="n">
        <v>20</v>
      </c>
    </row>
    <row r="15" customFormat="false" ht="23.85" hidden="false" customHeight="false" outlineLevel="0" collapsed="false">
      <c r="A15" s="3" t="s">
        <v>121</v>
      </c>
      <c r="B15" s="3" t="s">
        <v>48</v>
      </c>
      <c r="C15" s="3" t="s">
        <v>122</v>
      </c>
      <c r="D15" s="3" t="s">
        <v>123</v>
      </c>
      <c r="E15" s="3" t="s">
        <v>90</v>
      </c>
      <c r="F15" s="6" t="s">
        <v>91</v>
      </c>
      <c r="G15" s="3" t="s">
        <v>124</v>
      </c>
      <c r="H15" s="3" t="s">
        <v>23</v>
      </c>
      <c r="I15" s="3" t="n">
        <v>0</v>
      </c>
    </row>
    <row r="16" customFormat="false" ht="15" hidden="false" customHeight="false" outlineLevel="0" collapsed="false">
      <c r="A16" s="2" t="s">
        <v>125</v>
      </c>
      <c r="B16" s="2" t="s">
        <v>48</v>
      </c>
      <c r="C16" s="2" t="s">
        <v>106</v>
      </c>
      <c r="D16" s="2" t="s">
        <v>107</v>
      </c>
      <c r="E16" s="2" t="s">
        <v>90</v>
      </c>
      <c r="F16" s="2" t="s">
        <v>79</v>
      </c>
      <c r="G16" s="2" t="s">
        <v>126</v>
      </c>
      <c r="H16" s="2" t="s">
        <v>23</v>
      </c>
      <c r="I16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35"/>
    <col collapsed="false" customWidth="true" hidden="false" outlineLevel="0" max="5" min="5" style="0" width="10"/>
    <col collapsed="false" customWidth="true" hidden="false" outlineLevel="0" max="6" min="6" style="0" width="60"/>
    <col collapsed="false" customWidth="true" hidden="false" outlineLevel="0" max="7" min="7" style="0" width="22"/>
  </cols>
  <sheetData>
    <row r="1" customFormat="false" ht="30" hidden="false" customHeight="true" outlineLevel="0" collapsed="false">
      <c r="A1" s="1" t="s">
        <v>127</v>
      </c>
      <c r="B1" s="1" t="s">
        <v>128</v>
      </c>
      <c r="C1" s="1" t="s">
        <v>129</v>
      </c>
      <c r="D1" s="1" t="s">
        <v>130</v>
      </c>
      <c r="E1" s="1" t="s">
        <v>71</v>
      </c>
      <c r="F1" s="1" t="s">
        <v>131</v>
      </c>
      <c r="G1" s="1" t="s">
        <v>132</v>
      </c>
    </row>
    <row r="2" customFormat="false" ht="23.85" hidden="false" customHeight="false" outlineLevel="0" collapsed="false">
      <c r="A2" s="2" t="s">
        <v>133</v>
      </c>
      <c r="B2" s="2" t="s">
        <v>78</v>
      </c>
      <c r="C2" s="2" t="n">
        <v>5</v>
      </c>
      <c r="D2" s="2" t="s">
        <v>134</v>
      </c>
      <c r="E2" s="2" t="s">
        <v>91</v>
      </c>
      <c r="F2" s="2" t="s">
        <v>135</v>
      </c>
      <c r="G2" s="2" t="s">
        <v>136</v>
      </c>
    </row>
    <row r="3" customFormat="false" ht="15" hidden="false" customHeight="false" outlineLevel="0" collapsed="false">
      <c r="A3" s="3" t="s">
        <v>137</v>
      </c>
      <c r="B3" s="3" t="s">
        <v>90</v>
      </c>
      <c r="C3" s="3" t="n">
        <v>5</v>
      </c>
      <c r="D3" s="3" t="s">
        <v>138</v>
      </c>
      <c r="E3" s="6" t="s">
        <v>91</v>
      </c>
      <c r="F3" s="3" t="s">
        <v>139</v>
      </c>
      <c r="G3" s="3" t="s">
        <v>140</v>
      </c>
    </row>
    <row r="4" customFormat="false" ht="23.85" hidden="false" customHeight="false" outlineLevel="0" collapsed="false">
      <c r="A4" s="2" t="s">
        <v>141</v>
      </c>
      <c r="B4" s="2" t="s">
        <v>142</v>
      </c>
      <c r="C4" s="2" t="n">
        <v>3</v>
      </c>
      <c r="D4" s="2" t="s">
        <v>143</v>
      </c>
      <c r="E4" s="2" t="s">
        <v>79</v>
      </c>
      <c r="F4" s="2" t="s">
        <v>144</v>
      </c>
      <c r="G4" s="2" t="s">
        <v>136</v>
      </c>
    </row>
    <row r="5" customFormat="false" ht="15" hidden="false" customHeight="false" outlineLevel="0" collapsed="false">
      <c r="A5" s="3" t="s">
        <v>145</v>
      </c>
      <c r="B5" s="3" t="s">
        <v>78</v>
      </c>
      <c r="C5" s="3" t="n">
        <v>4</v>
      </c>
      <c r="D5" s="3" t="s">
        <v>146</v>
      </c>
      <c r="E5" s="6" t="s">
        <v>91</v>
      </c>
      <c r="F5" s="3" t="s">
        <v>147</v>
      </c>
      <c r="G5" s="3" t="s">
        <v>148</v>
      </c>
    </row>
    <row r="6" customFormat="false" ht="15" hidden="false" customHeight="false" outlineLevel="0" collapsed="false">
      <c r="A6" s="2" t="s">
        <v>149</v>
      </c>
      <c r="B6" s="2" t="s">
        <v>90</v>
      </c>
      <c r="C6" s="2" t="n">
        <v>3</v>
      </c>
      <c r="D6" s="2" t="s">
        <v>150</v>
      </c>
      <c r="E6" s="2" t="s">
        <v>79</v>
      </c>
      <c r="F6" s="2" t="s">
        <v>151</v>
      </c>
      <c r="G6" s="2" t="s">
        <v>152</v>
      </c>
    </row>
    <row r="7" customFormat="false" ht="15" hidden="false" customHeight="false" outlineLevel="0" collapsed="false">
      <c r="A7" s="3" t="s">
        <v>153</v>
      </c>
      <c r="B7" s="3" t="s">
        <v>142</v>
      </c>
      <c r="C7" s="3" t="n">
        <v>4</v>
      </c>
      <c r="D7" s="3" t="s">
        <v>154</v>
      </c>
      <c r="E7" s="5" t="s">
        <v>79</v>
      </c>
      <c r="F7" s="3" t="s">
        <v>155</v>
      </c>
      <c r="G7" s="3" t="s">
        <v>140</v>
      </c>
    </row>
    <row r="8" customFormat="false" ht="15" hidden="false" customHeight="false" outlineLevel="0" collapsed="false">
      <c r="A8" s="2" t="s">
        <v>156</v>
      </c>
      <c r="B8" s="2" t="s">
        <v>84</v>
      </c>
      <c r="C8" s="2" t="n">
        <v>4</v>
      </c>
      <c r="D8" s="2" t="s">
        <v>157</v>
      </c>
      <c r="E8" s="2" t="s">
        <v>85</v>
      </c>
      <c r="F8" s="2" t="s">
        <v>158</v>
      </c>
      <c r="G8" s="2" t="s">
        <v>159</v>
      </c>
    </row>
    <row r="9" customFormat="false" ht="15" hidden="false" customHeight="false" outlineLevel="0" collapsed="false">
      <c r="A9" s="3" t="s">
        <v>160</v>
      </c>
      <c r="B9" s="3" t="s">
        <v>94</v>
      </c>
      <c r="C9" s="3" t="n">
        <v>2</v>
      </c>
      <c r="D9" s="3" t="s">
        <v>161</v>
      </c>
      <c r="E9" s="5" t="s">
        <v>79</v>
      </c>
      <c r="F9" s="3" t="s">
        <v>162</v>
      </c>
      <c r="G9" s="3" t="s">
        <v>163</v>
      </c>
    </row>
    <row r="10" customFormat="false" ht="15" hidden="false" customHeight="false" outlineLevel="0" collapsed="false">
      <c r="A10" s="2" t="s">
        <v>164</v>
      </c>
      <c r="B10" s="2" t="s">
        <v>90</v>
      </c>
      <c r="C10" s="2" t="n">
        <v>3</v>
      </c>
      <c r="D10" s="2" t="s">
        <v>165</v>
      </c>
      <c r="E10" s="2" t="s">
        <v>79</v>
      </c>
      <c r="F10" s="2" t="s">
        <v>166</v>
      </c>
      <c r="G10" s="2" t="s">
        <v>140</v>
      </c>
    </row>
    <row r="11" customFormat="false" ht="15" hidden="false" customHeight="false" outlineLevel="0" collapsed="false">
      <c r="A11" s="3" t="s">
        <v>167</v>
      </c>
      <c r="B11" s="3" t="s">
        <v>94</v>
      </c>
      <c r="C11" s="3" t="n">
        <v>2</v>
      </c>
      <c r="D11" s="3" t="s">
        <v>168</v>
      </c>
      <c r="E11" s="5" t="s">
        <v>79</v>
      </c>
      <c r="F11" s="3" t="s">
        <v>169</v>
      </c>
      <c r="G11" s="3" t="s">
        <v>136</v>
      </c>
    </row>
    <row r="12" customFormat="false" ht="15" hidden="false" customHeight="false" outlineLevel="0" collapsed="false">
      <c r="A12" s="2" t="s">
        <v>170</v>
      </c>
      <c r="B12" s="2" t="s">
        <v>117</v>
      </c>
      <c r="C12" s="2" t="n">
        <v>2</v>
      </c>
      <c r="D12" s="2" t="s">
        <v>171</v>
      </c>
      <c r="E12" s="2" t="s">
        <v>79</v>
      </c>
      <c r="F12" s="2" t="s">
        <v>172</v>
      </c>
      <c r="G12" s="2" t="s">
        <v>140</v>
      </c>
    </row>
    <row r="13" customFormat="false" ht="15" hidden="false" customHeight="false" outlineLevel="0" collapsed="false">
      <c r="A13" s="3" t="s">
        <v>173</v>
      </c>
      <c r="B13" s="3" t="s">
        <v>78</v>
      </c>
      <c r="C13" s="3" t="n">
        <v>2</v>
      </c>
      <c r="D13" s="3" t="s">
        <v>174</v>
      </c>
      <c r="E13" s="4" t="s">
        <v>85</v>
      </c>
      <c r="F13" s="3" t="s">
        <v>175</v>
      </c>
      <c r="G13" s="3" t="s">
        <v>136</v>
      </c>
    </row>
    <row r="14" customFormat="false" ht="15" hidden="false" customHeight="false" outlineLevel="0" collapsed="false">
      <c r="A14" s="2" t="s">
        <v>176</v>
      </c>
      <c r="B14" s="2" t="s">
        <v>177</v>
      </c>
      <c r="C14" s="2" t="n">
        <v>2</v>
      </c>
      <c r="D14" s="2" t="s">
        <v>178</v>
      </c>
      <c r="E14" s="2" t="s">
        <v>85</v>
      </c>
      <c r="F14" s="2" t="s">
        <v>179</v>
      </c>
      <c r="G14" s="2" t="s">
        <v>180</v>
      </c>
    </row>
    <row r="15" customFormat="false" ht="15" hidden="false" customHeight="false" outlineLevel="0" collapsed="false">
      <c r="A15" s="3" t="s">
        <v>181</v>
      </c>
      <c r="B15" s="3" t="s">
        <v>182</v>
      </c>
      <c r="C15" s="3" t="n">
        <v>1</v>
      </c>
      <c r="D15" s="3" t="s">
        <v>183</v>
      </c>
      <c r="E15" s="4" t="s">
        <v>85</v>
      </c>
      <c r="F15" s="3" t="s">
        <v>184</v>
      </c>
      <c r="G15" s="3" t="s">
        <v>140</v>
      </c>
    </row>
    <row r="16" customFormat="false" ht="15" hidden="false" customHeight="false" outlineLevel="0" collapsed="false">
      <c r="A16" s="2" t="s">
        <v>185</v>
      </c>
      <c r="B16" s="2" t="s">
        <v>186</v>
      </c>
      <c r="C16" s="2" t="n">
        <v>1</v>
      </c>
      <c r="D16" s="2" t="s">
        <v>187</v>
      </c>
      <c r="E16" s="2" t="s">
        <v>85</v>
      </c>
      <c r="F16" s="2" t="s">
        <v>188</v>
      </c>
      <c r="G16" s="2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5"/>
    <col collapsed="false" customWidth="true" hidden="false" outlineLevel="0" max="6" min="6" style="0" width="40"/>
    <col collapsed="false" customWidth="true" hidden="false" outlineLevel="0" max="7" min="7" style="0" width="35"/>
  </cols>
  <sheetData>
    <row r="1" customFormat="false" ht="30" hidden="false" customHeight="true" outlineLevel="0" collapsed="false">
      <c r="A1" s="1" t="s">
        <v>0</v>
      </c>
      <c r="B1" s="1" t="s">
        <v>190</v>
      </c>
      <c r="C1" s="1" t="s">
        <v>191</v>
      </c>
      <c r="D1" s="1" t="s">
        <v>128</v>
      </c>
      <c r="E1" s="1" t="s">
        <v>192</v>
      </c>
      <c r="F1" s="1" t="s">
        <v>193</v>
      </c>
      <c r="G1" s="1" t="s">
        <v>194</v>
      </c>
    </row>
    <row r="2" customFormat="false" ht="15" hidden="false" customHeight="false" outlineLevel="0" collapsed="false">
      <c r="A2" s="2" t="s">
        <v>10</v>
      </c>
      <c r="B2" s="2" t="s">
        <v>195</v>
      </c>
      <c r="C2" s="2" t="n">
        <v>7</v>
      </c>
      <c r="D2" s="2" t="s">
        <v>196</v>
      </c>
      <c r="E2" s="2" t="s">
        <v>197</v>
      </c>
      <c r="F2" s="2" t="s">
        <v>198</v>
      </c>
      <c r="G2" s="2" t="s">
        <v>199</v>
      </c>
    </row>
    <row r="3" customFormat="false" ht="15" hidden="false" customHeight="false" outlineLevel="0" collapsed="false">
      <c r="A3" s="3" t="s">
        <v>25</v>
      </c>
      <c r="B3" s="3" t="s">
        <v>195</v>
      </c>
      <c r="C3" s="3" t="n">
        <v>8</v>
      </c>
      <c r="D3" s="4" t="s">
        <v>200</v>
      </c>
      <c r="E3" s="3" t="s">
        <v>201</v>
      </c>
      <c r="F3" s="3" t="s">
        <v>202</v>
      </c>
      <c r="G3" s="3" t="s">
        <v>203</v>
      </c>
    </row>
    <row r="4" customFormat="false" ht="23.85" hidden="false" customHeight="false" outlineLevel="0" collapsed="false">
      <c r="A4" s="2" t="s">
        <v>33</v>
      </c>
      <c r="B4" s="2" t="s">
        <v>195</v>
      </c>
      <c r="C4" s="2" t="n">
        <v>6</v>
      </c>
      <c r="D4" s="2" t="s">
        <v>204</v>
      </c>
      <c r="E4" s="2" t="s">
        <v>205</v>
      </c>
      <c r="F4" s="2" t="s">
        <v>206</v>
      </c>
      <c r="G4" s="2" t="s">
        <v>207</v>
      </c>
    </row>
    <row r="5" customFormat="false" ht="15" hidden="false" customHeight="false" outlineLevel="0" collapsed="false">
      <c r="A5" s="3" t="s">
        <v>41</v>
      </c>
      <c r="B5" s="3" t="s">
        <v>195</v>
      </c>
      <c r="C5" s="3" t="n">
        <v>7</v>
      </c>
      <c r="D5" s="5" t="s">
        <v>196</v>
      </c>
      <c r="E5" s="3" t="s">
        <v>208</v>
      </c>
      <c r="F5" s="3" t="s">
        <v>209</v>
      </c>
      <c r="G5" s="3" t="s">
        <v>210</v>
      </c>
    </row>
    <row r="6" customFormat="false" ht="15" hidden="false" customHeight="false" outlineLevel="0" collapsed="false">
      <c r="A6" s="2" t="s">
        <v>48</v>
      </c>
      <c r="B6" s="2" t="s">
        <v>195</v>
      </c>
      <c r="C6" s="2" t="n">
        <v>7</v>
      </c>
      <c r="D6" s="2" t="s">
        <v>196</v>
      </c>
      <c r="E6" s="2" t="s">
        <v>211</v>
      </c>
      <c r="F6" s="2" t="s">
        <v>212</v>
      </c>
      <c r="G6" s="2" t="s">
        <v>213</v>
      </c>
    </row>
    <row r="7" customFormat="false" ht="15" hidden="false" customHeight="false" outlineLevel="0" collapsed="false">
      <c r="A7" s="3" t="s">
        <v>214</v>
      </c>
      <c r="B7" s="3" t="s">
        <v>215</v>
      </c>
      <c r="C7" s="3" t="n">
        <v>8</v>
      </c>
      <c r="D7" s="4" t="s">
        <v>200</v>
      </c>
      <c r="E7" s="3" t="s">
        <v>216</v>
      </c>
      <c r="F7" s="3" t="s">
        <v>217</v>
      </c>
      <c r="G7" s="3" t="s">
        <v>218</v>
      </c>
    </row>
    <row r="8" customFormat="false" ht="15" hidden="false" customHeight="false" outlineLevel="0" collapsed="false">
      <c r="A8" s="2" t="s">
        <v>219</v>
      </c>
      <c r="B8" s="2" t="s">
        <v>215</v>
      </c>
      <c r="C8" s="2" t="n">
        <v>5</v>
      </c>
      <c r="D8" s="2" t="s">
        <v>204</v>
      </c>
      <c r="E8" s="2" t="s">
        <v>220</v>
      </c>
      <c r="F8" s="2" t="s">
        <v>221</v>
      </c>
      <c r="G8" s="2" t="s">
        <v>222</v>
      </c>
    </row>
    <row r="9" customFormat="false" ht="15" hidden="false" customHeight="false" outlineLevel="0" collapsed="false">
      <c r="A9" s="3" t="s">
        <v>223</v>
      </c>
      <c r="B9" s="3" t="s">
        <v>215</v>
      </c>
      <c r="C9" s="3" t="n">
        <v>8</v>
      </c>
      <c r="D9" s="4" t="s">
        <v>200</v>
      </c>
      <c r="E9" s="3" t="s">
        <v>224</v>
      </c>
      <c r="F9" s="3" t="s">
        <v>225</v>
      </c>
      <c r="G9" s="3" t="s">
        <v>226</v>
      </c>
    </row>
    <row r="11" customFormat="false" ht="15" hidden="false" customHeight="false" outlineLevel="0" collapsed="false">
      <c r="A11" s="7" t="s">
        <v>227</v>
      </c>
    </row>
    <row r="12" customFormat="false" ht="15" hidden="false" customHeight="false" outlineLevel="0" collapsed="false">
      <c r="A12" s="0" t="s">
        <v>228</v>
      </c>
      <c r="B12" s="0" t="n">
        <f aca="false">COUNTIF(D2:D9,"Promoter")</f>
        <v>3</v>
      </c>
    </row>
    <row r="13" customFormat="false" ht="15" hidden="false" customHeight="false" outlineLevel="0" collapsed="false">
      <c r="A13" s="0" t="s">
        <v>229</v>
      </c>
      <c r="B13" s="0" t="n">
        <f aca="false">COUNTIF(D2:D9,"Passive")</f>
        <v>3</v>
      </c>
    </row>
    <row r="14" customFormat="false" ht="15" hidden="false" customHeight="false" outlineLevel="0" collapsed="false">
      <c r="A14" s="0" t="s">
        <v>230</v>
      </c>
      <c r="B14" s="0" t="n">
        <f aca="false">COUNTIF(D2:D9,"Detractor")</f>
        <v>2</v>
      </c>
    </row>
    <row r="15" customFormat="false" ht="15" hidden="false" customHeight="false" outlineLevel="0" collapsed="false">
      <c r="A15" s="0" t="s">
        <v>231</v>
      </c>
      <c r="B15" s="0" t="n">
        <f aca="false">COUNTA(C2:C9)</f>
        <v>8</v>
      </c>
    </row>
    <row r="16" customFormat="false" ht="17.35" hidden="false" customHeight="false" outlineLevel="0" collapsed="false">
      <c r="A16" s="9" t="s">
        <v>191</v>
      </c>
      <c r="B16" s="10" t="n">
        <f aca="false">((B12-B14)/B15)*100</f>
        <v>12.5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2026-04-21T23:17:03Z</dcterms:created>
  <dc:creator>openpyxl</dc:creator>
  <dc:description/>
  <dc:language>en-US</dc:language>
  <cp:lastModifiedBy/>
  <dcterms:modified xsi:type="dcterms:W3CDTF">2026-04-21T23:17:03Z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